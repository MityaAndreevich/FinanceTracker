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Tiers" sheetId="3" state="visible" r:id="rId5"/>
    <sheet name="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<sst xmlns="http://schemas.openxmlformats.org/spreadsheetml/2006/main" count="57" uniqueCount="52">
  <si>
    <t xml:space="preserve">Budget Studio — Portfolio Model to $5k MRR</t>
  </si>
  <si>
    <t xml:space="preserve">Purpose: honest, editable model of what a portfolio of local-first ASO apps could earn. Edit the BLUE cells in Assumptions.</t>
  </si>
  <si>
    <t xml:space="preserve">Reality anchors (research-backed, not optimism):</t>
  </si>
  <si>
    <t xml:space="preserve">  • Only ~17.3% of apps EVER reach $1K MRR (~250 subs).  Source: launch_metrics benchmarks.</t>
  </si>
  <si>
    <t xml:space="preserve">  • Real 2026 case: one indie shipped 8 apps in 2025 → $1,464 TOTAL for the year (best ~$700).</t>
  </si>
  <si>
    <t xml:space="preserve">  • RevenueCat 2026: median app +5.3% MRR YoY; top-decile +306% (power law).</t>
  </si>
  <si>
    <t xml:space="preserve">How to read: Tiers models one app of each quality tier over 12 months. Scenarios mixes tiers into a 10-app portfolio.</t>
  </si>
  <si>
    <t xml:space="preserve">The BREAKOUT scenario needs a genuine top-decile winner — do not assume it.</t>
  </si>
  <si>
    <t xml:space="preserve">Verdict: $5k MRR in 60 days from zero budget is top-few-% / unlikely. Realistic path: 4–8 months with a portfolio + &gt;=1 winner.</t>
  </si>
  <si>
    <t xml:space="preserve">Assumptions  (edit blue cells)</t>
  </si>
  <si>
    <t xml:space="preserve">Monthly price ($)</t>
  </si>
  <si>
    <t xml:space="preserve">Path A</t>
  </si>
  <si>
    <t xml:space="preserve">Yearly price ($)</t>
  </si>
  <si>
    <t xml:space="preserve">% buyers choosing yearly</t>
  </si>
  <si>
    <t xml:space="preserve">assumption</t>
  </si>
  <si>
    <t xml:space="preserve">Apple commission</t>
  </si>
  <si>
    <t xml:space="preserve">Small Business Program &lt;$1M</t>
  </si>
  <si>
    <t xml:space="preserve">Net ARPU per payer / month ($)</t>
  </si>
  <si>
    <t xml:space="preserve">computed</t>
  </si>
  <si>
    <t xml:space="preserve">Install-&gt;paid conversion</t>
  </si>
  <si>
    <t xml:space="preserve">hybrid assumption (RevenueCat hard-paywall 10.7% / freemium 2.1%)</t>
  </si>
  <si>
    <t xml:space="preserve">Monthly churn</t>
  </si>
  <si>
    <t xml:space="preserve">Installs / month per app by tier</t>
  </si>
  <si>
    <t xml:space="preserve">Flop</t>
  </si>
  <si>
    <t xml:space="preserve">Modest</t>
  </si>
  <si>
    <t xml:space="preserve">Winner</t>
  </si>
  <si>
    <t xml:space="preserve">Breakout</t>
  </si>
  <si>
    <t xml:space="preserve">Target MRR ($)</t>
  </si>
  <si>
    <t xml:space="preserve">Single-app active subscribers + MRR over 12 months (by tier)</t>
  </si>
  <si>
    <t xml:space="preserve">Month</t>
  </si>
  <si>
    <t xml:space="preserve">Flop subs</t>
  </si>
  <si>
    <t xml:space="preserve">Flop MRR</t>
  </si>
  <si>
    <t xml:space="preserve">Modest subs</t>
  </si>
  <si>
    <t xml:space="preserve">Modest MRR</t>
  </si>
  <si>
    <t xml:space="preserve">Winner subs</t>
  </si>
  <si>
    <t xml:space="preserve">Winner MRR</t>
  </si>
  <si>
    <t xml:space="preserve">Breakout subs</t>
  </si>
  <si>
    <t xml:space="preserve">Breakout MRR</t>
  </si>
  <si>
    <t xml:space="preserve">Scenarios — 10-app portfolio (edit blue counts)</t>
  </si>
  <si>
    <t xml:space="preserve">Scenario</t>
  </si>
  <si>
    <t xml:space="preserve">#Flop</t>
  </si>
  <si>
    <t xml:space="preserve">#Modest</t>
  </si>
  <si>
    <t xml:space="preserve">#Winner</t>
  </si>
  <si>
    <t xml:space="preserve">#Breakout</t>
  </si>
  <si>
    <t xml:space="preserve">MRR @ M6</t>
  </si>
  <si>
    <t xml:space="preserve">MRR @ M12</t>
  </si>
  <si>
    <t xml:space="preserve">Reaches $5k? (M12)</t>
  </si>
  <si>
    <t xml:space="preserve">Pessimistic (like 8-apps=$1,464/yr)</t>
  </si>
  <si>
    <t xml:space="preserve">Base</t>
  </si>
  <si>
    <t xml:space="preserve">Breakout (needs a top-decile win)</t>
  </si>
  <si>
    <t xml:space="preserve">Portfolio MRR trajectory ($/month)</t>
  </si>
  <si>
    <t xml:space="preserve">Pessimistic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</si>
</sst>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#,##0;\(#,##0\);\-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30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Portfolio MRR over 12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Scenarios!B10</c:f>
              <c:strCache>
                <c:ptCount val="1"/>
                <c:pt idx="0">
                  <c:v>Pessimistic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Scenarios!$A$11:$A$22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Scenarios!$B$11:$B$22</c:f>
              <c:numCache>
                <c:formatCode>\$#,##0;"($"#,##0\);\-</c:formatCode>
                <c:ptCount val="12"/>
                <c:pt idx="0">
                  <c:v>157.91028</c:v>
                </c:pt>
                <c:pt idx="1">
                  <c:v>303.1877376</c:v>
                </c:pt>
                <c:pt idx="2">
                  <c:v>436.842998592</c:v>
                </c:pt>
                <c:pt idx="3">
                  <c:v>559.80583870464</c:v>
                </c:pt>
                <c:pt idx="4">
                  <c:v>672.931651608269</c:v>
                </c:pt>
                <c:pt idx="5">
                  <c:v>777.007399479607</c:v>
                </c:pt>
                <c:pt idx="6">
                  <c:v>872.757087521239</c:v>
                </c:pt>
                <c:pt idx="7">
                  <c:v>960.84680051954</c:v>
                </c:pt>
                <c:pt idx="8">
                  <c:v>1041.88933647798</c:v>
                </c:pt>
                <c:pt idx="9">
                  <c:v>1116.44846955974</c:v>
                </c:pt>
                <c:pt idx="10">
                  <c:v>1185.04287199496</c:v>
                </c:pt>
                <c:pt idx="11">
                  <c:v>1248.14972223536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Scenarios!C10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Scenarios!$A$11:$A$22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Scenarios!$C$11:$C$22</c:f>
              <c:numCache>
                <c:formatCode>\$#,##0;"($"#,##0\);\-</c:formatCode>
                <c:ptCount val="12"/>
                <c:pt idx="0">
                  <c:v>292.8981</c:v>
                </c:pt>
                <c:pt idx="1">
                  <c:v>562.364352</c:v>
                </c:pt>
                <c:pt idx="2">
                  <c:v>810.27330384</c:v>
                </c:pt>
                <c:pt idx="3">
                  <c:v>1038.3495395328</c:v>
                </c:pt>
                <c:pt idx="4">
                  <c:v>1248.17967637018</c:v>
                </c:pt>
                <c:pt idx="5">
                  <c:v>1441.22340226056</c:v>
                </c:pt>
                <c:pt idx="6">
                  <c:v>1618.82363007972</c:v>
                </c:pt>
                <c:pt idx="7">
                  <c:v>1782.21583967334</c:v>
                </c:pt>
                <c:pt idx="8">
                  <c:v>1932.53667249947</c:v>
                </c:pt>
                <c:pt idx="9">
                  <c:v>2070.83183869952</c:v>
                </c:pt>
                <c:pt idx="10">
                  <c:v>2198.06339160355</c:v>
                </c:pt>
                <c:pt idx="11">
                  <c:v>2315.11642027527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Scenarios!D10</c:f>
              <c:strCache>
                <c:ptCount val="1"/>
                <c:pt idx="0">
                  <c:v>Breakout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Scenarios!$A$11:$A$22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Scenarios!$D$11:$D$22</c:f>
              <c:numCache>
                <c:formatCode>\$#,##0;"($"#,##0\);\-</c:formatCode>
                <c:ptCount val="12"/>
                <c:pt idx="0">
                  <c:v>509.388</c:v>
                </c:pt>
                <c:pt idx="1">
                  <c:v>978.02496</c:v>
                </c:pt>
                <c:pt idx="2">
                  <c:v>1409.1709632</c:v>
                </c:pt>
                <c:pt idx="3">
                  <c:v>1805.825286144</c:v>
                </c:pt>
                <c:pt idx="4">
                  <c:v>2170.74726325248</c:v>
                </c:pt>
                <c:pt idx="5">
                  <c:v>2506.47548219228</c:v>
                </c:pt>
                <c:pt idx="6">
                  <c:v>2815.3454436169</c:v>
                </c:pt>
                <c:pt idx="7">
                  <c:v>3099.50580812755</c:v>
                </c:pt>
                <c:pt idx="8">
                  <c:v>3360.93334347734</c:v>
                </c:pt>
                <c:pt idx="9">
                  <c:v>3601.44667599916</c:v>
                </c:pt>
                <c:pt idx="10">
                  <c:v>3822.71894191922</c:v>
                </c:pt>
                <c:pt idx="11">
                  <c:v>4026.28942656569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374308"/>
        <c:axId val="71393404"/>
      </c:lineChart>
      <c:catAx>
        <c:axId val="273743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393404"/>
        <c:crosses val="autoZero"/>
        <c:auto val="1"/>
        <c:lblAlgn val="ctr"/>
        <c:lblOffset val="100"/>
        <c:noMultiLvlLbl val="0"/>
      </c:catAx>
      <c:valAx>
        <c:axId val="71393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3743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18</xdr:col>
      <xdr:colOff>255960</xdr:colOff>
      <xdr:row>17</xdr:row>
      <xdr:rowOff>21960</xdr:rowOff>
    </xdr:to>
    <xdr:graphicFrame>
      <xdr:nvGraphicFramePr>
        <xdr:cNvPr id="1" name="Chart 1"/>
        <xdr:cNvGraphicFramePr/>
      </xdr:nvGraphicFramePr>
      <xdr:xfrm>
        <a:off x="8646840" y="4107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9</v>
      </c>
    </row>
    <row r="3" customFormat="false" ht="15" hidden="false" customHeight="false" outlineLevel="0" collapsed="false">
      <c r="A3" s="4" t="s">
        <v>10</v>
      </c>
      <c r="B3" s="5" t="n">
        <v>4.99</v>
      </c>
      <c r="C3" s="6" t="s">
        <v>11</v>
      </c>
    </row>
    <row r="4" customFormat="false" ht="15" hidden="false" customHeight="false" outlineLevel="0" collapsed="false">
      <c r="A4" s="4" t="s">
        <v>12</v>
      </c>
      <c r="B4" s="5" t="n">
        <v>34.99</v>
      </c>
      <c r="C4" s="6" t="s">
        <v>11</v>
      </c>
    </row>
    <row r="5" customFormat="false" ht="15" hidden="false" customHeight="false" outlineLevel="0" collapsed="false">
      <c r="A5" s="4" t="s">
        <v>13</v>
      </c>
      <c r="B5" s="7" t="n">
        <v>0.6</v>
      </c>
      <c r="C5" s="6" t="s">
        <v>14</v>
      </c>
    </row>
    <row r="6" customFormat="false" ht="15" hidden="false" customHeight="false" outlineLevel="0" collapsed="false">
      <c r="A6" s="4" t="s">
        <v>15</v>
      </c>
      <c r="B6" s="7" t="n">
        <v>0.15</v>
      </c>
      <c r="C6" s="6" t="s">
        <v>16</v>
      </c>
    </row>
    <row r="7" customFormat="false" ht="15" hidden="false" customHeight="false" outlineLevel="0" collapsed="false">
      <c r="A7" s="4" t="s">
        <v>17</v>
      </c>
      <c r="B7" s="8" t="n">
        <f aca="false">((1-B5)*B3+B5*(B4/12))*(1-B6)</f>
        <v>3.183675</v>
      </c>
      <c r="C7" s="6" t="s">
        <v>18</v>
      </c>
    </row>
    <row r="8" customFormat="false" ht="15" hidden="false" customHeight="false" outlineLevel="0" collapsed="false">
      <c r="A8" s="4" t="s">
        <v>19</v>
      </c>
      <c r="B8" s="7" t="n">
        <v>0.04</v>
      </c>
      <c r="C8" s="6" t="s">
        <v>20</v>
      </c>
    </row>
    <row r="9" customFormat="false" ht="15" hidden="false" customHeight="false" outlineLevel="0" collapsed="false">
      <c r="A9" s="4" t="s">
        <v>21</v>
      </c>
      <c r="B9" s="7" t="n">
        <v>0.08</v>
      </c>
      <c r="C9" s="6" t="s">
        <v>14</v>
      </c>
    </row>
    <row r="11" customFormat="false" ht="15" hidden="false" customHeight="false" outlineLevel="0" collapsed="false">
      <c r="A11" s="4" t="s">
        <v>22</v>
      </c>
    </row>
    <row r="12" customFormat="false" ht="15" hidden="false" customHeight="false" outlineLevel="0" collapsed="false">
      <c r="A12" s="9" t="s">
        <v>23</v>
      </c>
      <c r="B12" s="10" t="n">
        <v>80</v>
      </c>
    </row>
    <row r="13" customFormat="false" ht="15" hidden="false" customHeight="false" outlineLevel="0" collapsed="false">
      <c r="A13" s="9" t="s">
        <v>24</v>
      </c>
      <c r="B13" s="10" t="n">
        <v>300</v>
      </c>
    </row>
    <row r="14" customFormat="false" ht="15" hidden="false" customHeight="false" outlineLevel="0" collapsed="false">
      <c r="A14" s="9" t="s">
        <v>25</v>
      </c>
      <c r="B14" s="10" t="n">
        <v>700</v>
      </c>
    </row>
    <row r="15" customFormat="false" ht="15" hidden="false" customHeight="false" outlineLevel="0" collapsed="false">
      <c r="A15" s="9" t="s">
        <v>26</v>
      </c>
      <c r="B15" s="10" t="n">
        <v>2000</v>
      </c>
    </row>
    <row r="17" customFormat="false" ht="15" hidden="false" customHeight="false" outlineLevel="0" collapsed="false">
      <c r="A17" s="4" t="s">
        <v>27</v>
      </c>
      <c r="B17" s="5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3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11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 t="s">
        <v>37</v>
      </c>
    </row>
    <row r="4" customFormat="false" ht="15" hidden="false" customHeight="false" outlineLevel="0" collapsed="false">
      <c r="A4" s="12" t="n">
        <v>1</v>
      </c>
      <c r="B4" s="13" t="n">
        <f aca="false">Assumptions!$B$12*Assumptions!$B$8</f>
        <v>3.2</v>
      </c>
      <c r="C4" s="14" t="n">
        <f aca="false">B4*Assumptions!$B$7</f>
        <v>10.18776</v>
      </c>
      <c r="D4" s="13" t="n">
        <f aca="false">Assumptions!$B$13*Assumptions!$B$8</f>
        <v>12</v>
      </c>
      <c r="E4" s="14" t="n">
        <f aca="false">D4*Assumptions!$B$7</f>
        <v>38.2041</v>
      </c>
      <c r="F4" s="13" t="n">
        <f aca="false">Assumptions!$B$14*Assumptions!$B$8</f>
        <v>28</v>
      </c>
      <c r="G4" s="14" t="n">
        <f aca="false">F4*Assumptions!$B$7</f>
        <v>89.1429</v>
      </c>
      <c r="H4" s="13" t="n">
        <f aca="false">Assumptions!$B$15*Assumptions!$B$8</f>
        <v>80</v>
      </c>
      <c r="I4" s="14" t="n">
        <f aca="false">H4*Assumptions!$B$7</f>
        <v>254.694</v>
      </c>
    </row>
    <row r="5" customFormat="false" ht="15" hidden="false" customHeight="false" outlineLevel="0" collapsed="false">
      <c r="A5" s="12" t="n">
        <v>2</v>
      </c>
      <c r="B5" s="13" t="n">
        <f aca="false">B4*(1-Assumptions!$B$9)+Assumptions!$B$12*Assumptions!$B$8</f>
        <v>6.144</v>
      </c>
      <c r="C5" s="14" t="n">
        <f aca="false">B5*Assumptions!$B$7</f>
        <v>19.5604992</v>
      </c>
      <c r="D5" s="13" t="n">
        <f aca="false">D4*(1-Assumptions!$B$9)+Assumptions!$B$13*Assumptions!$B$8</f>
        <v>23.04</v>
      </c>
      <c r="E5" s="14" t="n">
        <f aca="false">D5*Assumptions!$B$7</f>
        <v>73.351872</v>
      </c>
      <c r="F5" s="13" t="n">
        <f aca="false">F4*(1-Assumptions!$B$9)+Assumptions!$B$14*Assumptions!$B$8</f>
        <v>53.76</v>
      </c>
      <c r="G5" s="14" t="n">
        <f aca="false">F5*Assumptions!$B$7</f>
        <v>171.154368</v>
      </c>
      <c r="H5" s="13" t="n">
        <f aca="false">H4*(1-Assumptions!$B$9)+Assumptions!$B$15*Assumptions!$B$8</f>
        <v>153.6</v>
      </c>
      <c r="I5" s="14" t="n">
        <f aca="false">H5*Assumptions!$B$7</f>
        <v>489.01248</v>
      </c>
    </row>
    <row r="6" customFormat="false" ht="15" hidden="false" customHeight="false" outlineLevel="0" collapsed="false">
      <c r="A6" s="12" t="n">
        <v>3</v>
      </c>
      <c r="B6" s="13" t="n">
        <f aca="false">B5*(1-Assumptions!$B$9)+Assumptions!$B$12*Assumptions!$B$8</f>
        <v>8.85248</v>
      </c>
      <c r="C6" s="14" t="n">
        <f aca="false">B6*Assumptions!$B$7</f>
        <v>28.183419264</v>
      </c>
      <c r="D6" s="13" t="n">
        <f aca="false">D5*(1-Assumptions!$B$9)+Assumptions!$B$13*Assumptions!$B$8</f>
        <v>33.1968</v>
      </c>
      <c r="E6" s="14" t="n">
        <f aca="false">D6*Assumptions!$B$7</f>
        <v>105.68782224</v>
      </c>
      <c r="F6" s="13" t="n">
        <f aca="false">F5*(1-Assumptions!$B$9)+Assumptions!$B$14*Assumptions!$B$8</f>
        <v>77.4592</v>
      </c>
      <c r="G6" s="14" t="n">
        <f aca="false">F6*Assumptions!$B$7</f>
        <v>246.60491856</v>
      </c>
      <c r="H6" s="13" t="n">
        <f aca="false">H5*(1-Assumptions!$B$9)+Assumptions!$B$15*Assumptions!$B$8</f>
        <v>221.312</v>
      </c>
      <c r="I6" s="14" t="n">
        <f aca="false">H6*Assumptions!$B$7</f>
        <v>704.5854816</v>
      </c>
    </row>
    <row r="7" customFormat="false" ht="15" hidden="false" customHeight="false" outlineLevel="0" collapsed="false">
      <c r="A7" s="12" t="n">
        <v>4</v>
      </c>
      <c r="B7" s="13" t="n">
        <f aca="false">B6*(1-Assumptions!$B$9)+Assumptions!$B$12*Assumptions!$B$8</f>
        <v>11.3442816</v>
      </c>
      <c r="C7" s="14" t="n">
        <f aca="false">B7*Assumptions!$B$7</f>
        <v>36.11650572288</v>
      </c>
      <c r="D7" s="13" t="n">
        <f aca="false">D6*(1-Assumptions!$B$9)+Assumptions!$B$13*Assumptions!$B$8</f>
        <v>42.541056</v>
      </c>
      <c r="E7" s="14" t="n">
        <f aca="false">D7*Assumptions!$B$7</f>
        <v>135.4368964608</v>
      </c>
      <c r="F7" s="13" t="n">
        <f aca="false">F6*(1-Assumptions!$B$9)+Assumptions!$B$14*Assumptions!$B$8</f>
        <v>99.262464</v>
      </c>
      <c r="G7" s="14" t="n">
        <f aca="false">F7*Assumptions!$B$7</f>
        <v>316.0194250752</v>
      </c>
      <c r="H7" s="13" t="n">
        <f aca="false">H6*(1-Assumptions!$B$9)+Assumptions!$B$15*Assumptions!$B$8</f>
        <v>283.60704</v>
      </c>
      <c r="I7" s="14" t="n">
        <f aca="false">H7*Assumptions!$B$7</f>
        <v>902.912643072</v>
      </c>
    </row>
    <row r="8" customFormat="false" ht="15" hidden="false" customHeight="false" outlineLevel="0" collapsed="false">
      <c r="A8" s="12" t="n">
        <v>5</v>
      </c>
      <c r="B8" s="13" t="n">
        <f aca="false">B7*(1-Assumptions!$B$9)+Assumptions!$B$12*Assumptions!$B$8</f>
        <v>13.636739072</v>
      </c>
      <c r="C8" s="14" t="n">
        <f aca="false">B8*Assumptions!$B$7</f>
        <v>43.4149452650496</v>
      </c>
      <c r="D8" s="13" t="n">
        <f aca="false">D7*(1-Assumptions!$B$9)+Assumptions!$B$13*Assumptions!$B$8</f>
        <v>51.13777152</v>
      </c>
      <c r="E8" s="14" t="n">
        <f aca="false">D8*Assumptions!$B$7</f>
        <v>162.806044743936</v>
      </c>
      <c r="F8" s="13" t="n">
        <f aca="false">F7*(1-Assumptions!$B$9)+Assumptions!$B$14*Assumptions!$B$8</f>
        <v>119.32146688</v>
      </c>
      <c r="G8" s="14" t="n">
        <f aca="false">F8*Assumptions!$B$7</f>
        <v>379.880771069184</v>
      </c>
      <c r="H8" s="13" t="n">
        <f aca="false">H7*(1-Assumptions!$B$9)+Assumptions!$B$15*Assumptions!$B$8</f>
        <v>340.9184768</v>
      </c>
      <c r="I8" s="14" t="n">
        <f aca="false">H8*Assumptions!$B$7</f>
        <v>1085.37363162624</v>
      </c>
    </row>
    <row r="9" customFormat="false" ht="15" hidden="false" customHeight="false" outlineLevel="0" collapsed="false">
      <c r="A9" s="12" t="n">
        <v>6</v>
      </c>
      <c r="B9" s="13" t="n">
        <f aca="false">B8*(1-Assumptions!$B$9)+Assumptions!$B$12*Assumptions!$B$8</f>
        <v>15.74579994624</v>
      </c>
      <c r="C9" s="14" t="n">
        <f aca="false">B9*Assumptions!$B$7</f>
        <v>50.1295096438456</v>
      </c>
      <c r="D9" s="13" t="n">
        <f aca="false">D8*(1-Assumptions!$B$9)+Assumptions!$B$13*Assumptions!$B$8</f>
        <v>59.0467497984</v>
      </c>
      <c r="E9" s="14" t="n">
        <f aca="false">D9*Assumptions!$B$7</f>
        <v>187.985661164421</v>
      </c>
      <c r="F9" s="13" t="n">
        <f aca="false">F8*(1-Assumptions!$B$9)+Assumptions!$B$14*Assumptions!$B$8</f>
        <v>137.7757495296</v>
      </c>
      <c r="G9" s="14" t="n">
        <f aca="false">F9*Assumptions!$B$7</f>
        <v>438.633209383649</v>
      </c>
      <c r="H9" s="13" t="n">
        <f aca="false">H8*(1-Assumptions!$B$9)+Assumptions!$B$15*Assumptions!$B$8</f>
        <v>393.644998656</v>
      </c>
      <c r="I9" s="14" t="n">
        <f aca="false">H9*Assumptions!$B$7</f>
        <v>1253.23774109614</v>
      </c>
    </row>
    <row r="10" customFormat="false" ht="15" hidden="false" customHeight="false" outlineLevel="0" collapsed="false">
      <c r="A10" s="12" t="n">
        <v>7</v>
      </c>
      <c r="B10" s="13" t="n">
        <f aca="false">B9*(1-Assumptions!$B$9)+Assumptions!$B$12*Assumptions!$B$8</f>
        <v>17.6861359505408</v>
      </c>
      <c r="C10" s="14" t="n">
        <f aca="false">B10*Assumptions!$B$7</f>
        <v>56.306908872338</v>
      </c>
      <c r="D10" s="13" t="n">
        <f aca="false">D9*(1-Assumptions!$B$9)+Assumptions!$B$13*Assumptions!$B$8</f>
        <v>66.323009814528</v>
      </c>
      <c r="E10" s="14" t="n">
        <f aca="false">D10*Assumptions!$B$7</f>
        <v>211.150908271267</v>
      </c>
      <c r="F10" s="13" t="n">
        <f aca="false">F9*(1-Assumptions!$B$9)+Assumptions!$B$14*Assumptions!$B$8</f>
        <v>154.753689567232</v>
      </c>
      <c r="G10" s="14" t="n">
        <f aca="false">F10*Assumptions!$B$7</f>
        <v>492.685452632958</v>
      </c>
      <c r="H10" s="13" t="n">
        <f aca="false">H9*(1-Assumptions!$B$9)+Assumptions!$B$15*Assumptions!$B$8</f>
        <v>442.15339876352</v>
      </c>
      <c r="I10" s="14" t="n">
        <f aca="false">H10*Assumptions!$B$7</f>
        <v>1407.67272180845</v>
      </c>
    </row>
    <row r="11" customFormat="false" ht="15" hidden="false" customHeight="false" outlineLevel="0" collapsed="false">
      <c r="A11" s="12" t="n">
        <v>8</v>
      </c>
      <c r="B11" s="13" t="n">
        <f aca="false">B10*(1-Assumptions!$B$9)+Assumptions!$B$12*Assumptions!$B$8</f>
        <v>19.4712450744975</v>
      </c>
      <c r="C11" s="14" t="n">
        <f aca="false">B11*Assumptions!$B$7</f>
        <v>61.990116162551</v>
      </c>
      <c r="D11" s="13" t="n">
        <f aca="false">D10*(1-Assumptions!$B$9)+Assumptions!$B$13*Assumptions!$B$8</f>
        <v>73.0171690293658</v>
      </c>
      <c r="E11" s="14" t="n">
        <f aca="false">D11*Assumptions!$B$7</f>
        <v>232.462935609566</v>
      </c>
      <c r="F11" s="13" t="n">
        <f aca="false">F10*(1-Assumptions!$B$9)+Assumptions!$B$14*Assumptions!$B$8</f>
        <v>170.373394401854</v>
      </c>
      <c r="G11" s="14" t="n">
        <f aca="false">F11*Assumptions!$B$7</f>
        <v>542.413516422321</v>
      </c>
      <c r="H11" s="13" t="n">
        <f aca="false">H10*(1-Assumptions!$B$9)+Assumptions!$B$15*Assumptions!$B$8</f>
        <v>486.781126862439</v>
      </c>
      <c r="I11" s="14" t="n">
        <f aca="false">H11*Assumptions!$B$7</f>
        <v>1549.75290406377</v>
      </c>
    </row>
    <row r="12" customFormat="false" ht="15" hidden="false" customHeight="false" outlineLevel="0" collapsed="false">
      <c r="A12" s="12" t="n">
        <v>9</v>
      </c>
      <c r="B12" s="13" t="n">
        <f aca="false">B11*(1-Assumptions!$B$9)+Assumptions!$B$12*Assumptions!$B$8</f>
        <v>21.1135454685377</v>
      </c>
      <c r="C12" s="14" t="n">
        <f aca="false">B12*Assumptions!$B$7</f>
        <v>67.2186668695469</v>
      </c>
      <c r="D12" s="13" t="n">
        <f aca="false">D11*(1-Assumptions!$B$9)+Assumptions!$B$13*Assumptions!$B$8</f>
        <v>79.1757955070165</v>
      </c>
      <c r="E12" s="14" t="n">
        <f aca="false">D12*Assumptions!$B$7</f>
        <v>252.070000760801</v>
      </c>
      <c r="F12" s="13" t="n">
        <f aca="false">F11*(1-Assumptions!$B$9)+Assumptions!$B$14*Assumptions!$B$8</f>
        <v>184.743522849705</v>
      </c>
      <c r="G12" s="14" t="n">
        <f aca="false">F12*Assumptions!$B$7</f>
        <v>588.163335108535</v>
      </c>
      <c r="H12" s="13" t="n">
        <f aca="false">H11*(1-Assumptions!$B$9)+Assumptions!$B$15*Assumptions!$B$8</f>
        <v>527.838636713444</v>
      </c>
      <c r="I12" s="14" t="n">
        <f aca="false">H12*Assumptions!$B$7</f>
        <v>1680.46667173867</v>
      </c>
    </row>
    <row r="13" customFormat="false" ht="15" hidden="false" customHeight="false" outlineLevel="0" collapsed="false">
      <c r="A13" s="12" t="n">
        <v>10</v>
      </c>
      <c r="B13" s="13" t="n">
        <f aca="false">B12*(1-Assumptions!$B$9)+Assumptions!$B$12*Assumptions!$B$8</f>
        <v>22.6244618310547</v>
      </c>
      <c r="C13" s="14" t="n">
        <f aca="false">B13*Assumptions!$B$7</f>
        <v>72.0289335199831</v>
      </c>
      <c r="D13" s="13" t="n">
        <f aca="false">D12*(1-Assumptions!$B$9)+Assumptions!$B$13*Assumptions!$B$8</f>
        <v>84.8417318664552</v>
      </c>
      <c r="E13" s="14" t="n">
        <f aca="false">D13*Assumptions!$B$7</f>
        <v>270.108500699937</v>
      </c>
      <c r="F13" s="13" t="n">
        <f aca="false">F12*(1-Assumptions!$B$9)+Assumptions!$B$14*Assumptions!$B$8</f>
        <v>197.964041021729</v>
      </c>
      <c r="G13" s="14" t="n">
        <f aca="false">F13*Assumptions!$B$7</f>
        <v>630.253168299852</v>
      </c>
      <c r="H13" s="13" t="n">
        <f aca="false">H12*(1-Assumptions!$B$9)+Assumptions!$B$15*Assumptions!$B$8</f>
        <v>565.611545776368</v>
      </c>
      <c r="I13" s="14" t="n">
        <f aca="false">H13*Assumptions!$B$7</f>
        <v>1800.72333799958</v>
      </c>
    </row>
    <row r="14" customFormat="false" ht="15" hidden="false" customHeight="false" outlineLevel="0" collapsed="false">
      <c r="A14" s="12" t="n">
        <v>11</v>
      </c>
      <c r="B14" s="13" t="n">
        <f aca="false">B13*(1-Assumptions!$B$9)+Assumptions!$B$12*Assumptions!$B$8</f>
        <v>24.0145048845703</v>
      </c>
      <c r="C14" s="14" t="n">
        <f aca="false">B14*Assumptions!$B$7</f>
        <v>76.4543788383845</v>
      </c>
      <c r="D14" s="13" t="n">
        <f aca="false">D13*(1-Assumptions!$B$9)+Assumptions!$B$13*Assumptions!$B$8</f>
        <v>90.0543933171388</v>
      </c>
      <c r="E14" s="14" t="n">
        <f aca="false">D14*Assumptions!$B$7</f>
        <v>286.703920643942</v>
      </c>
      <c r="F14" s="13" t="n">
        <f aca="false">F13*(1-Assumptions!$B$9)+Assumptions!$B$14*Assumptions!$B$8</f>
        <v>210.126917739991</v>
      </c>
      <c r="G14" s="14" t="n">
        <f aca="false">F14*Assumptions!$B$7</f>
        <v>668.975814835864</v>
      </c>
      <c r="H14" s="13" t="n">
        <f aca="false">H13*(1-Assumptions!$B$9)+Assumptions!$B$15*Assumptions!$B$8</f>
        <v>600.362622114259</v>
      </c>
      <c r="I14" s="14" t="n">
        <f aca="false">H14*Assumptions!$B$7</f>
        <v>1911.35947095961</v>
      </c>
    </row>
    <row r="15" customFormat="false" ht="15" hidden="false" customHeight="false" outlineLevel="0" collapsed="false">
      <c r="A15" s="12" t="n">
        <v>12</v>
      </c>
      <c r="B15" s="13" t="n">
        <f aca="false">B14*(1-Assumptions!$B$9)+Assumptions!$B$12*Assumptions!$B$8</f>
        <v>25.2933444938047</v>
      </c>
      <c r="C15" s="14" t="n">
        <f aca="false">B15*Assumptions!$B$7</f>
        <v>80.5257885313137</v>
      </c>
      <c r="D15" s="13" t="n">
        <f aca="false">D14*(1-Assumptions!$B$9)+Assumptions!$B$13*Assumptions!$B$8</f>
        <v>94.8500418517677</v>
      </c>
      <c r="E15" s="14" t="n">
        <f aca="false">D15*Assumptions!$B$7</f>
        <v>301.971706992426</v>
      </c>
      <c r="F15" s="13" t="n">
        <f aca="false">F14*(1-Assumptions!$B$9)+Assumptions!$B$14*Assumptions!$B$8</f>
        <v>221.316764320791</v>
      </c>
      <c r="G15" s="14" t="n">
        <f aca="false">F15*Assumptions!$B$7</f>
        <v>704.600649648995</v>
      </c>
      <c r="H15" s="13" t="n">
        <f aca="false">H14*(1-Assumptions!$B$9)+Assumptions!$B$15*Assumptions!$B$8</f>
        <v>632.333612345118</v>
      </c>
      <c r="I15" s="14" t="n">
        <f aca="false">H15*Assumptions!$B$7</f>
        <v>2013.14471328284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15" t="s">
        <v>39</v>
      </c>
      <c r="B3" s="11" t="s">
        <v>40</v>
      </c>
      <c r="C3" s="11" t="s">
        <v>41</v>
      </c>
      <c r="D3" s="11" t="s">
        <v>42</v>
      </c>
      <c r="E3" s="11" t="s">
        <v>43</v>
      </c>
      <c r="F3" s="11" t="s">
        <v>44</v>
      </c>
      <c r="G3" s="11" t="s">
        <v>45</v>
      </c>
      <c r="H3" s="11" t="s">
        <v>46</v>
      </c>
    </row>
    <row r="4" customFormat="false" ht="15" hidden="false" customHeight="false" outlineLevel="0" collapsed="false">
      <c r="A4" s="9" t="s">
        <v>47</v>
      </c>
      <c r="B4" s="16" t="n">
        <v>8</v>
      </c>
      <c r="C4" s="16" t="n">
        <v>2</v>
      </c>
      <c r="D4" s="16" t="n">
        <v>0</v>
      </c>
      <c r="E4" s="16" t="n">
        <v>0</v>
      </c>
      <c r="F4" s="14" t="n">
        <f aca="false">B4*Tiers!$C$9+C4*Tiers!$E$9+D4*Tiers!$G$9+E4*Tiers!$I$9</f>
        <v>777.007399479607</v>
      </c>
      <c r="G4" s="14" t="n">
        <f aca="false">B4*Tiers!$C$15+C4*Tiers!$E$15+D4*Tiers!$G$15+E4*Tiers!$I$15</f>
        <v>1248.14972223536</v>
      </c>
      <c r="H4" s="17" t="str">
        <f aca="false">IF(G4&gt;=Assumptions!$B$17,"Yes","No")</f>
        <v>No</v>
      </c>
    </row>
    <row r="5" customFormat="false" ht="15" hidden="false" customHeight="false" outlineLevel="0" collapsed="false">
      <c r="A5" s="9" t="s">
        <v>48</v>
      </c>
      <c r="B5" s="16" t="n">
        <v>5</v>
      </c>
      <c r="C5" s="16" t="n">
        <v>4</v>
      </c>
      <c r="D5" s="16" t="n">
        <v>1</v>
      </c>
      <c r="E5" s="16" t="n">
        <v>0</v>
      </c>
      <c r="F5" s="14" t="n">
        <f aca="false">B5*Tiers!$C$9+C5*Tiers!$E$9+D5*Tiers!$G$9+E5*Tiers!$I$9</f>
        <v>1441.22340226056</v>
      </c>
      <c r="G5" s="14" t="n">
        <f aca="false">B5*Tiers!$C$15+C5*Tiers!$E$15+D5*Tiers!$G$15+E5*Tiers!$I$15</f>
        <v>2315.11642027527</v>
      </c>
      <c r="H5" s="17" t="str">
        <f aca="false">IF(G5&gt;=Assumptions!$B$17,"Yes","No")</f>
        <v>No</v>
      </c>
    </row>
    <row r="6" customFormat="false" ht="15" hidden="false" customHeight="false" outlineLevel="0" collapsed="false">
      <c r="A6" s="9" t="s">
        <v>49</v>
      </c>
      <c r="B6" s="16" t="n">
        <v>5</v>
      </c>
      <c r="C6" s="16" t="n">
        <v>3</v>
      </c>
      <c r="D6" s="16" t="n">
        <v>1</v>
      </c>
      <c r="E6" s="16" t="n">
        <v>1</v>
      </c>
      <c r="F6" s="14" t="n">
        <f aca="false">B6*Tiers!$C$9+C6*Tiers!$E$9+D6*Tiers!$G$9+E6*Tiers!$I$9</f>
        <v>2506.47548219228</v>
      </c>
      <c r="G6" s="14" t="n">
        <f aca="false">B6*Tiers!$C$15+C6*Tiers!$E$15+D6*Tiers!$G$15+E6*Tiers!$I$15</f>
        <v>4026.28942656569</v>
      </c>
      <c r="H6" s="17" t="str">
        <f aca="false">IF(G6&gt;=Assumptions!$B$17,"Yes","No")</f>
        <v>No</v>
      </c>
    </row>
    <row r="9" customFormat="false" ht="15" hidden="false" customHeight="false" outlineLevel="0" collapsed="false">
      <c r="A9" s="4" t="s">
        <v>50</v>
      </c>
    </row>
    <row r="10" customFormat="false" ht="15" hidden="false" customHeight="false" outlineLevel="0" collapsed="false">
      <c r="A10" s="11" t="s">
        <v>29</v>
      </c>
      <c r="B10" s="11" t="s">
        <v>51</v>
      </c>
      <c r="C10" s="11" t="s">
        <v>48</v>
      </c>
      <c r="D10" s="11" t="s">
        <v>26</v>
      </c>
    </row>
    <row r="11" customFormat="false" ht="15" hidden="false" customHeight="false" outlineLevel="0" collapsed="false">
      <c r="A11" s="12" t="n">
        <v>1</v>
      </c>
      <c r="B11" s="14" t="n">
        <f aca="false">$B$4*Tiers!$C$4+$C$4*Tiers!$E$4+$D$4*Tiers!$G$4+$E$4*Tiers!$I$4</f>
        <v>157.91028</v>
      </c>
      <c r="C11" s="14" t="n">
        <f aca="false">$B$5*Tiers!$C$4+$C$5*Tiers!$E$4+$D$5*Tiers!$G$4+$E$5*Tiers!$I$4</f>
        <v>292.8981</v>
      </c>
      <c r="D11" s="14" t="n">
        <f aca="false">$B$6*Tiers!$C$4+$C$6*Tiers!$E$4+$D$6*Tiers!$G$4+$E$6*Tiers!$I$4</f>
        <v>509.388</v>
      </c>
    </row>
    <row r="12" customFormat="false" ht="15" hidden="false" customHeight="false" outlineLevel="0" collapsed="false">
      <c r="A12" s="12" t="n">
        <v>2</v>
      </c>
      <c r="B12" s="14" t="n">
        <f aca="false">$B$4*Tiers!$C$5+$C$4*Tiers!$E$5+$D$4*Tiers!$G$5+$E$4*Tiers!$I$5</f>
        <v>303.1877376</v>
      </c>
      <c r="C12" s="14" t="n">
        <f aca="false">$B$5*Tiers!$C$5+$C$5*Tiers!$E$5+$D$5*Tiers!$G$5+$E$5*Tiers!$I$5</f>
        <v>562.364352</v>
      </c>
      <c r="D12" s="14" t="n">
        <f aca="false">$B$6*Tiers!$C$5+$C$6*Tiers!$E$5+$D$6*Tiers!$G$5+$E$6*Tiers!$I$5</f>
        <v>978.02496</v>
      </c>
    </row>
    <row r="13" customFormat="false" ht="15" hidden="false" customHeight="false" outlineLevel="0" collapsed="false">
      <c r="A13" s="12" t="n">
        <v>3</v>
      </c>
      <c r="B13" s="14" t="n">
        <f aca="false">$B$4*Tiers!$C$6+$C$4*Tiers!$E$6+$D$4*Tiers!$G$6+$E$4*Tiers!$I$6</f>
        <v>436.842998592</v>
      </c>
      <c r="C13" s="14" t="n">
        <f aca="false">$B$5*Tiers!$C$6+$C$5*Tiers!$E$6+$D$5*Tiers!$G$6+$E$5*Tiers!$I$6</f>
        <v>810.27330384</v>
      </c>
      <c r="D13" s="14" t="n">
        <f aca="false">$B$6*Tiers!$C$6+$C$6*Tiers!$E$6+$D$6*Tiers!$G$6+$E$6*Tiers!$I$6</f>
        <v>1409.1709632</v>
      </c>
    </row>
    <row r="14" customFormat="false" ht="15" hidden="false" customHeight="false" outlineLevel="0" collapsed="false">
      <c r="A14" s="12" t="n">
        <v>4</v>
      </c>
      <c r="B14" s="14" t="n">
        <f aca="false">$B$4*Tiers!$C$7+$C$4*Tiers!$E$7+$D$4*Tiers!$G$7+$E$4*Tiers!$I$7</f>
        <v>559.80583870464</v>
      </c>
      <c r="C14" s="14" t="n">
        <f aca="false">$B$5*Tiers!$C$7+$C$5*Tiers!$E$7+$D$5*Tiers!$G$7+$E$5*Tiers!$I$7</f>
        <v>1038.3495395328</v>
      </c>
      <c r="D14" s="14" t="n">
        <f aca="false">$B$6*Tiers!$C$7+$C$6*Tiers!$E$7+$D$6*Tiers!$G$7+$E$6*Tiers!$I$7</f>
        <v>1805.825286144</v>
      </c>
    </row>
    <row r="15" customFormat="false" ht="15" hidden="false" customHeight="false" outlineLevel="0" collapsed="false">
      <c r="A15" s="12" t="n">
        <v>5</v>
      </c>
      <c r="B15" s="14" t="n">
        <f aca="false">$B$4*Tiers!$C$8+$C$4*Tiers!$E$8+$D$4*Tiers!$G$8+$E$4*Tiers!$I$8</f>
        <v>672.931651608269</v>
      </c>
      <c r="C15" s="14" t="n">
        <f aca="false">$B$5*Tiers!$C$8+$C$5*Tiers!$E$8+$D$5*Tiers!$G$8+$E$5*Tiers!$I$8</f>
        <v>1248.17967637018</v>
      </c>
      <c r="D15" s="14" t="n">
        <f aca="false">$B$6*Tiers!$C$8+$C$6*Tiers!$E$8+$D$6*Tiers!$G$8+$E$6*Tiers!$I$8</f>
        <v>2170.74726325248</v>
      </c>
    </row>
    <row r="16" customFormat="false" ht="15" hidden="false" customHeight="false" outlineLevel="0" collapsed="false">
      <c r="A16" s="12" t="n">
        <v>6</v>
      </c>
      <c r="B16" s="14" t="n">
        <f aca="false">$B$4*Tiers!$C$9+$C$4*Tiers!$E$9+$D$4*Tiers!$G$9+$E$4*Tiers!$I$9</f>
        <v>777.007399479607</v>
      </c>
      <c r="C16" s="14" t="n">
        <f aca="false">$B$5*Tiers!$C$9+$C$5*Tiers!$E$9+$D$5*Tiers!$G$9+$E$5*Tiers!$I$9</f>
        <v>1441.22340226056</v>
      </c>
      <c r="D16" s="14" t="n">
        <f aca="false">$B$6*Tiers!$C$9+$C$6*Tiers!$E$9+$D$6*Tiers!$G$9+$E$6*Tiers!$I$9</f>
        <v>2506.47548219228</v>
      </c>
    </row>
    <row r="17" customFormat="false" ht="15" hidden="false" customHeight="false" outlineLevel="0" collapsed="false">
      <c r="A17" s="12" t="n">
        <v>7</v>
      </c>
      <c r="B17" s="14" t="n">
        <f aca="false">$B$4*Tiers!$C$10+$C$4*Tiers!$E$10+$D$4*Tiers!$G$10+$E$4*Tiers!$I$10</f>
        <v>872.757087521239</v>
      </c>
      <c r="C17" s="14" t="n">
        <f aca="false">$B$5*Tiers!$C$10+$C$5*Tiers!$E$10+$D$5*Tiers!$G$10+$E$5*Tiers!$I$10</f>
        <v>1618.82363007972</v>
      </c>
      <c r="D17" s="14" t="n">
        <f aca="false">$B$6*Tiers!$C$10+$C$6*Tiers!$E$10+$D$6*Tiers!$G$10+$E$6*Tiers!$I$10</f>
        <v>2815.3454436169</v>
      </c>
    </row>
    <row r="18" customFormat="false" ht="15" hidden="false" customHeight="false" outlineLevel="0" collapsed="false">
      <c r="A18" s="12" t="n">
        <v>8</v>
      </c>
      <c r="B18" s="14" t="n">
        <f aca="false">$B$4*Tiers!$C$11+$C$4*Tiers!$E$11+$D$4*Tiers!$G$11+$E$4*Tiers!$I$11</f>
        <v>960.84680051954</v>
      </c>
      <c r="C18" s="14" t="n">
        <f aca="false">$B$5*Tiers!$C$11+$C$5*Tiers!$E$11+$D$5*Tiers!$G$11+$E$5*Tiers!$I$11</f>
        <v>1782.21583967334</v>
      </c>
      <c r="D18" s="14" t="n">
        <f aca="false">$B$6*Tiers!$C$11+$C$6*Tiers!$E$11+$D$6*Tiers!$G$11+$E$6*Tiers!$I$11</f>
        <v>3099.50580812755</v>
      </c>
    </row>
    <row r="19" customFormat="false" ht="15" hidden="false" customHeight="false" outlineLevel="0" collapsed="false">
      <c r="A19" s="12" t="n">
        <v>9</v>
      </c>
      <c r="B19" s="14" t="n">
        <f aca="false">$B$4*Tiers!$C$12+$C$4*Tiers!$E$12+$D$4*Tiers!$G$12+$E$4*Tiers!$I$12</f>
        <v>1041.88933647798</v>
      </c>
      <c r="C19" s="14" t="n">
        <f aca="false">$B$5*Tiers!$C$12+$C$5*Tiers!$E$12+$D$5*Tiers!$G$12+$E$5*Tiers!$I$12</f>
        <v>1932.53667249947</v>
      </c>
      <c r="D19" s="14" t="n">
        <f aca="false">$B$6*Tiers!$C$12+$C$6*Tiers!$E$12+$D$6*Tiers!$G$12+$E$6*Tiers!$I$12</f>
        <v>3360.93334347734</v>
      </c>
    </row>
    <row r="20" customFormat="false" ht="15" hidden="false" customHeight="false" outlineLevel="0" collapsed="false">
      <c r="A20" s="12" t="n">
        <v>10</v>
      </c>
      <c r="B20" s="14" t="n">
        <f aca="false">$B$4*Tiers!$C$13+$C$4*Tiers!$E$13+$D$4*Tiers!$G$13+$E$4*Tiers!$I$13</f>
        <v>1116.44846955974</v>
      </c>
      <c r="C20" s="14" t="n">
        <f aca="false">$B$5*Tiers!$C$13+$C$5*Tiers!$E$13+$D$5*Tiers!$G$13+$E$5*Tiers!$I$13</f>
        <v>2070.83183869952</v>
      </c>
      <c r="D20" s="14" t="n">
        <f aca="false">$B$6*Tiers!$C$13+$C$6*Tiers!$E$13+$D$6*Tiers!$G$13+$E$6*Tiers!$I$13</f>
        <v>3601.44667599916</v>
      </c>
    </row>
    <row r="21" customFormat="false" ht="15" hidden="false" customHeight="false" outlineLevel="0" collapsed="false">
      <c r="A21" s="12" t="n">
        <v>11</v>
      </c>
      <c r="B21" s="14" t="n">
        <f aca="false">$B$4*Tiers!$C$14+$C$4*Tiers!$E$14+$D$4*Tiers!$G$14+$E$4*Tiers!$I$14</f>
        <v>1185.04287199496</v>
      </c>
      <c r="C21" s="14" t="n">
        <f aca="false">$B$5*Tiers!$C$14+$C$5*Tiers!$E$14+$D$5*Tiers!$G$14+$E$5*Tiers!$I$14</f>
        <v>2198.06339160355</v>
      </c>
      <c r="D21" s="14" t="n">
        <f aca="false">$B$6*Tiers!$C$14+$C$6*Tiers!$E$14+$D$6*Tiers!$G$14+$E$6*Tiers!$I$14</f>
        <v>3822.71894191922</v>
      </c>
    </row>
    <row r="22" customFormat="false" ht="15" hidden="false" customHeight="false" outlineLevel="0" collapsed="false">
      <c r="A22" s="12" t="n">
        <v>12</v>
      </c>
      <c r="B22" s="14" t="n">
        <f aca="false">$B$4*Tiers!$C$15+$C$4*Tiers!$E$15+$D$4*Tiers!$G$15+$E$4*Tiers!$I$15</f>
        <v>1248.14972223536</v>
      </c>
      <c r="C22" s="14" t="n">
        <f aca="false">$B$5*Tiers!$C$15+$C$5*Tiers!$E$15+$D$5*Tiers!$G$15+$E$5*Tiers!$I$15</f>
        <v>2315.11642027527</v>
      </c>
      <c r="D22" s="14" t="n">
        <f aca="false">$B$6*Tiers!$C$15+$C$6*Tiers!$E$15+$D$6*Tiers!$G$15+$E$6*Tiers!$I$15</f>
        <v>4026.28942656569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2026-07-03T15:13:03Z</dcterms:created>
  <dc:creator>openpyxl</dc:creator>
  <dc:description/>
  <dc:language>en-US</dc:language>
  <cp:lastModifiedBy/>
  <dcterms:modified xsi:type="dcterms:W3CDTF">2026-07-03T18:13:27Z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